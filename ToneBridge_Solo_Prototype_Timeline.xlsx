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imeline" sheetId="2" state="visible" r:id="rId4"/>
    <sheet name="Hardware_Budget" sheetId="3" state="visible" r:id="rId5"/>
    <sheet name="Dashboard" sheetId="4" state="visible" r:id="rId6"/>
    <sheet name="Risks" sheetId="5" state="visible" r:id="rId7"/>
  </sheets>
  <definedNames>
    <definedName function="false" hidden="true" localSheetId="1" name="_xlnm._FilterDatabase" vbProcedure="false">Timeline!$A$4:$M$40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Giả định: bắt đầu 07/10/2026. Đổi ô này để dời cả timeline.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3" authorId="0">
      <text>
        <r>
          <rPr>
            <sz val="10"/>
            <rFont val="Arial"/>
            <family val="2"/>
          </rPr>
          <t xml:space="preserve">Target p50 ≤1.5 s và p95 &lt;2.0 s lấy từ Technical Proposal của đội.</t>
        </r>
      </text>
    </comment>
  </commentList>
</comments>
</file>

<file path=xl/sharedStrings.xml><?xml version="1.0" encoding="utf-8"?>
<sst xmlns="http://schemas.openxmlformats.org/spreadsheetml/2006/main" count="387" uniqueCount="266">
  <si>
    <t xml:space="preserve">ToneBridge — Solo Prototype Timeline (1 người, 4 tuần, SD712)</t>
  </si>
  <si>
    <t xml:space="preserve">Scope MVP 1 người: VI→KO là P0 end-to-end; KO→VI là stretch (D22, chỉ làm khi W3 đạt target). Branch B = rule-based advisory (chưa có data để train MLP).</t>
  </si>
  <si>
    <t xml:space="preserve">Kiến trúc: Frontend = Android Kotlin/Compose (UI, PTT). Backend = native engine C++ on-device (orchestrator, JNI) — KHÔNG có cloud backend. Edge = ONNX Runtime/sherpa-onnx CPU-first, pin thread vào big cores.</t>
  </si>
  <si>
    <t xml:space="preserve">Cách dùng:</t>
  </si>
  <si>
    <t xml:space="preserve">• Timeline: chỉ sửa cột Status (dropdown), Actual h và Notes. Ô vàng = cần điền.</t>
  </si>
  <si>
    <t xml:space="preserve">• Timeline!Start date (ô C2): đổi ngày bắt đầu, toàn bộ cột Date tự tính lại.</t>
  </si>
  <si>
    <t xml:space="preserve">• Hardware_Budget: cột Measured (ô vàng) điền số đo thật từ điện thoại; Delta và Total tự tính.</t>
  </si>
  <si>
    <t xml:space="preserve">• Dashboard: tự tổng hợp giờ và % Done theo tuần, không cần sửa.</t>
  </si>
  <si>
    <t xml:space="preserve">Quy ước màu: chữ xanh dương = số giả định/input; chữ đen = công thức; nền vàng = ô cần điền.</t>
  </si>
  <si>
    <t xml:space="preserve">Mọi con số budget là TARGET/ƯỚC LƯỢNG, không phải số đo. Số đo thật chỉ đến từ benchmark trên SD712.</t>
  </si>
  <si>
    <t xml:space="preserve">Nguồn thông số phần cứng: ảnh Geekbench 7 CPU/GPU do người dùng chụp trên máy test.</t>
  </si>
  <si>
    <t xml:space="preserve">ToneBridge solo prototype — day-by-day</t>
  </si>
  <si>
    <t xml:space="preserve">Start date:</t>
  </si>
  <si>
    <t xml:space="preserve">Day</t>
  </si>
  <si>
    <t xml:space="preserve">Week</t>
  </si>
  <si>
    <t xml:space="preserve">Date</t>
  </si>
  <si>
    <t xml:space="preserve">Layer</t>
  </si>
  <si>
    <t xml:space="preserve">Task</t>
  </si>
  <si>
    <t xml:space="preserve">Senior-dev detail (how)</t>
  </si>
  <si>
    <t xml:space="preserve">Done criteria</t>
  </si>
  <si>
    <t xml:space="preserve">SD712 constraint</t>
  </si>
  <si>
    <t xml:space="preserve">Est h</t>
  </si>
  <si>
    <t xml:space="preserve">Priority</t>
  </si>
  <si>
    <t xml:space="preserve">Status</t>
  </si>
  <si>
    <t xml:space="preserve">Actual h</t>
  </si>
  <si>
    <t xml:space="preserve">Notes</t>
  </si>
  <si>
    <t xml:space="preserve">Edge</t>
  </si>
  <si>
    <t xml:space="preserve">Device baseline + NPU GO/NO-GO</t>
  </si>
  <si>
    <t xml:space="preserve">adb shell: getprop ro.board.platform, đọc /sys/devices/system/cpu/cpu*/cpufreq/cpuinfo_max_freq để xác định 2 big core (thường cpu6,7), dumpsys meminfo lấy RAM free thực. Chạy 1 ONNX nhỏ với ORT QNN EP (HTP) → xem node có rơi về CPU không.</t>
  </si>
  <si>
    <t xml:space="preserve">Bảng baseline (Android ver, big-core IDs, RAM free). Kết luận NPU GO/NO-GO có log làm bằng chứng.</t>
  </si>
  <si>
    <t xml:space="preserve">Hexagon 685 khả năng cao không có HTP backend → mặc định CPU-first.</t>
  </si>
  <si>
    <t xml:space="preserve">P0</t>
  </si>
  <si>
    <t xml:space="preserve">Todo</t>
  </si>
  <si>
    <t xml:space="preserve">Backend</t>
  </si>
  <si>
    <t xml:space="preserve">Repo skeleton + contracts</t>
  </si>
  <si>
    <t xml:space="preserve">Monorepo: /engine (C++17, CMake, NDK), /app (Kotlin), /tools (Python export/eval/bench). Định nghĩa contract: Utterance, AsrResult, MtResult, SafetyReport, UrgencyResult, GateDecision (Pydantic ở tools, struct C++ ở engine).</t>
  </si>
  <si>
    <t xml:space="preserve">Repo build được; schema JSON contract commit.</t>
  </si>
  <si>
    <t xml:space="preserve">—</t>
  </si>
  <si>
    <t xml:space="preserve">ML</t>
  </si>
  <si>
    <t xml:space="preserve">ASR VI streaming (laptop)</t>
  </si>
  <si>
    <t xml:space="preserve">sherpa-onnx streaming Zipformer VI INT8. Chunk 320 ms. Tự thu 50 câu y tế ngắn làm eval set. Đo RTF với num_threads=2 để mô phỏng 2 big core.</t>
  </si>
  <si>
    <t xml:space="preserve">CER trên 50 câu + RTF + size model ghi vào Hardware_Budget.</t>
  </si>
  <si>
    <t xml:space="preserve">Chỉ 2 big core → RTF laptop phải ≤0.1 thì trên máy mới có cửa.</t>
  </si>
  <si>
    <t xml:space="preserve">ASR KO (laptop, cho stretch)</t>
  </si>
  <si>
    <t xml:space="preserve">Tải + chạy Zipformer KO INT8 tương tự. Chưa tối ưu.</t>
  </si>
  <si>
    <t xml:space="preserve">Chạy được 10 câu.</t>
  </si>
  <si>
    <t xml:space="preserve">P2</t>
  </si>
  <si>
    <t xml:space="preserve">NMT VI→EN→KO pivot (laptop)</t>
  </si>
  <si>
    <t xml:space="preserve">Day đầu: verify model opus-mt vi-en và en-ko tồn tại + chất lượng. Export ONNX bằng optimum (encoder + decoder_with_past), quantize dynamic INT8. Greedy, max_len 64. SentencePiece tokenizer.</t>
  </si>
  <si>
    <t xml:space="preserve">Latency 2 lần decode trên laptop; dịch đúng 30 câu test.</t>
  </si>
  <si>
    <t xml:space="preserve">Pivot = 2× decode trên 2 big core → rủi ro latency #1.</t>
  </si>
  <si>
    <t xml:space="preserve">Glossary constrained decoding v0</t>
  </si>
  <si>
    <t xml:space="preserve">Glossary y tế ~100 cặp. v0: pre/post-processing placeholder (mask term → dịch → thay lại) thay vì sửa beam search.</t>
  </si>
  <si>
    <t xml:space="preserve">Term trong glossary giữ đúng 100% trên test.</t>
  </si>
  <si>
    <t xml:space="preserve">Không tốn compute thêm trên device.</t>
  </si>
  <si>
    <t xml:space="preserve">P1</t>
  </si>
  <si>
    <t xml:space="preserve">TTS KO (laptop)</t>
  </si>
  <si>
    <t xml:space="preserve">Thử MeloTTS-KO → ONNX. Nếu export khó/nặng: fallback voice KO dạng VITS/Piper mà sherpa-onnx chạy được. Ghi license + version pin từng voice.</t>
  </si>
  <si>
    <t xml:space="preserve">1 voice KO chạy offline, có RTF, size, license.</t>
  </si>
  <si>
    <t xml:space="preserve">RAM và CPU yếu → ưu tiên voice nhỏ (&lt;100 MB).</t>
  </si>
  <si>
    <t xml:space="preserve">Docs</t>
  </si>
  <si>
    <t xml:space="preserve">License table</t>
  </si>
  <si>
    <t xml:space="preserve">Bảng: model, nguồn, license, version/hash. Flag mọi thứ NC/GPL.</t>
  </si>
  <si>
    <t xml:space="preserve">Bảng commit trong repo.</t>
  </si>
  <si>
    <t xml:space="preserve">Reference pipeline Python</t>
  </si>
  <si>
    <t xml:space="preserve">Orchestrator: WAV → WebRTC APM (toggle) → Silero VAD → fan-out (Branch A denoised / Branch B raw cùng timestamp) → ASR → NMT → Safety v0 → Gate FSM → TTS.</t>
  </si>
  <si>
    <t xml:space="preserve">Chạy 1 lệnh từ wav ra wav tiếng Hàn + JSON GateDecision.</t>
  </si>
  <si>
    <t xml:space="preserve">Dùng đúng file ONNX sẽ đưa lên máy.</t>
  </si>
  <si>
    <t xml:space="preserve">Safety check v0 + Gate FSM</t>
  </si>
  <si>
    <r>
      <rPr>
        <sz val="10"/>
        <rFont val="Arial"/>
        <family val="0"/>
        <charset val="1"/>
      </rPr>
      <t xml:space="preserve">Rule: negation (không/chưa/</t>
    </r>
    <r>
      <rPr>
        <sz val="10"/>
        <rFont val="Noto Sans CJK SC"/>
        <family val="2"/>
      </rPr>
      <t xml:space="preserve">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못</t>
    </r>
    <r>
      <rPr>
        <sz val="10"/>
        <rFont val="Arial"/>
        <family val="0"/>
        <charset val="1"/>
      </rPr>
      <t xml:space="preserve">), số + đơn vị liều (regex mg/ml/viên), lexicon thuốc/dị ứng. Gate 5 state: SPEAK / SPEAK+CUE / REPEAT / CONFIRM / ABSTAIN.</t>
    </r>
  </si>
  <si>
    <t xml:space="preserve">Bắt được lỗi cài sẵn: mất negation, sai số liều.</t>
  </si>
  <si>
    <t xml:space="preserve">Rule-based → ~0 ms trên little core.</t>
  </si>
  <si>
    <t xml:space="preserve">Branch B rule-based</t>
  </si>
  <si>
    <t xml:space="preserve">F0 bằng pyworld-Harvest hoặc SwiftF0 + energy, speech rate, jitter (subset ~12 feature eGeMAPS bằng numpy, không openSMILE). Urgency = z-score so baseline người nói; voicing kém → UNKNOWN.</t>
  </si>
  <si>
    <t xml:space="preserve">Ra urgency {LOW,HIGH,UNKNOWN} trên 20 câu tự thu (bình thường vs gấp).</t>
  </si>
  <si>
    <t xml:space="preserve">Chạy trên little core, song song Branch A.</t>
  </si>
  <si>
    <t xml:space="preserve">Eval</t>
  </si>
  <si>
    <t xml:space="preserve">Eval set + noise mixer</t>
  </si>
  <si>
    <t xml:space="preserve">50 câu y tế VI (tự đọc), script trộn noise ICU-like ở clean/10/5/0 dB, seed cố định.</t>
  </si>
  <si>
    <t xml:space="preserve">Bộ eval tái lập được bằng 1 lệnh.</t>
  </si>
  <si>
    <t xml:space="preserve">Integration</t>
  </si>
  <si>
    <t xml:space="preserve">W1 demo laptop + freeze v0</t>
  </si>
  <si>
    <t xml:space="preserve">Chạy end-to-end 30 câu, quay video. Freeze ONNX v0 + hash. Buffer sửa lỗi.</t>
  </si>
  <si>
    <t xml:space="preserve">Video demo VI→KO laptop; bảng model v0.</t>
  </si>
  <si>
    <t xml:space="preserve">ASR on device</t>
  </si>
  <si>
    <t xml:space="preserve">Dùng sherpa-onnx Android prebuilt. Model đẩy vào /sdcard/Android/data/&lt;pkg&gt;/files (không nhét APK). num_threads=2, sched_setaffinity vào big core.</t>
  </si>
  <si>
    <t xml:space="preserve">RTF ASR trên SD712 ghi vào Hardware_Budget.</t>
  </si>
  <si>
    <t xml:space="preserve">Big core 2.30 GHz ×2; GB7 SC 462.</t>
  </si>
  <si>
    <t xml:space="preserve">Audio capture Oboe</t>
  </si>
  <si>
    <t xml:space="preserve">Oboe input ở native rate (thường 48k), low-latency mode, resample 1 lần → 16 kHz mono, ring buffer lock-free. Silero VAD ONNX on device.</t>
  </si>
  <si>
    <t xml:space="preserve">Endpoint VAD đúng, không underrun/xrun.</t>
  </si>
  <si>
    <t xml:space="preserve">Audio callback không được block bởi inference.</t>
  </si>
  <si>
    <t xml:space="preserve">Frontend</t>
  </si>
  <si>
    <t xml:space="preserve">PTT skeleton</t>
  </si>
  <si>
    <t xml:space="preserve">Compose: nút PTT giữ-để-nói, trạng thái REC/PROCESSING, permission RECORD_AUDIO.</t>
  </si>
  <si>
    <t xml:space="preserve">Bấm giữ thu được audio.</t>
  </si>
  <si>
    <t xml:space="preserve">Native orchestrator C++</t>
  </si>
  <si>
    <t xml:space="preserve">Pipeline stage + queue. Thread pool A pin big core (ASR/NMT/TTS), pool B pin little core (VAD, Branch B, Safety). JNI → Kotlin Flow event (partial transcript, MT, gate, urgency).</t>
  </si>
  <si>
    <t xml:space="preserve">Event stream lên UI, không crash 50 lượt.</t>
  </si>
  <si>
    <t xml:space="preserve">Tránh 2 model nặng chạy cùng lúc trên 2 big core.</t>
  </si>
  <si>
    <t xml:space="preserve">NMT on device</t>
  </si>
  <si>
    <t xml:space="preserve">ORT C++ (encoder + decoder_with_past, KV cache), SentencePiece C++. Greedy. Session: intra_op=2, graph opt ALL, warmup lúc app start.</t>
  </si>
  <si>
    <t xml:space="preserve">Latency pivot trên máy. Nếu &gt;700 ms: quyết định cắt max_len / đổi model.</t>
  </si>
  <si>
    <t xml:space="preserve">Rủi ro latency #1.</t>
  </si>
  <si>
    <t xml:space="preserve">TTS on device + streaming playback</t>
  </si>
  <si>
    <t xml:space="preserve">Synthesize theo câu/chunk, phát qua Oboe/AAudio output khi chunk đầu xong.</t>
  </si>
  <si>
    <t xml:space="preserve">Time-to-first-audio đo được.</t>
  </si>
  <si>
    <t xml:space="preserve">RAM: release TTS session nếu cần.</t>
  </si>
  <si>
    <t xml:space="preserve">Conversation UI</t>
  </si>
  <si>
    <t xml:space="preserve">Màn hình: source text, translation, badge Gate state, chip urgency (LOW/HIGH/UNKNOWN), toggle direction, debug HUD latency từng stage, icon airplane mode.</t>
  </si>
  <si>
    <t xml:space="preserve">UI đủ để demo + đọc latency trực tiếp.</t>
  </si>
  <si>
    <t xml:space="preserve">Compose nhẹ, không animation nặng trên GPU Adreno yếu.</t>
  </si>
  <si>
    <t xml:space="preserve">Branch B port</t>
  </si>
  <si>
    <t xml:space="preserve">Port feature extractor sang C++ (F0 + energy + rate). Chạy little core.</t>
  </si>
  <si>
    <t xml:space="preserve">Urgency hiện trên UI.</t>
  </si>
  <si>
    <t xml:space="preserve">Không chiếm big core.</t>
  </si>
  <si>
    <t xml:space="preserve">W2 on-device E2E</t>
  </si>
  <si>
    <t xml:space="preserve">Airplane mode, chạy 30 câu, xuất latency CSV qua adb pull, dumpsys meminfo PSS. Quay video.</t>
  </si>
  <si>
    <t xml:space="preserve">APK chạy offline end-to-end trên SD712. Nếu tổng &gt;3 s → cắt scope ngay.</t>
  </si>
  <si>
    <t xml:space="preserve">PSS mục tiêu ≤1.0 GB.</t>
  </si>
  <si>
    <t xml:space="preserve">Profiling</t>
  </si>
  <si>
    <t xml:space="preserve">Perfetto/simpleperf trace 1 lượt. Xác định stage nghẽn. Thử ORT session options, mmap model, tắt arena nếu RAM căng.</t>
  </si>
  <si>
    <t xml:space="preserve">Bảng trước/sau tối ưu.</t>
  </si>
  <si>
    <t xml:space="preserve">Quantization accuracy check</t>
  </si>
  <si>
    <t xml:space="preserve">So FP32 vs INT8: CER (ASR), chất lượng dịch trên 30 câu (chấm tay + chrF). Chọn bản cuối.</t>
  </si>
  <si>
    <t xml:space="preserve">Bảng accuracy vs latency.</t>
  </si>
  <si>
    <t xml:space="preserve">INT8 bắt buộc nếu RAM/latency vượt.</t>
  </si>
  <si>
    <t xml:space="preserve">Safety v1 + ASR confidence</t>
  </si>
  <si>
    <t xml:space="preserve">Mở rộng lexicon, ASR confidence từ token log-prob → gate REPEAT khi thấp. Tune ngưỡng gate.</t>
  </si>
  <si>
    <t xml:space="preserve">Recall bắt lỗi + false-block rate trên bộ test cài lỗi.</t>
  </si>
  <si>
    <t xml:space="preserve">Memory + thermal</t>
  </si>
  <si>
    <t xml:space="preserve">Lazy load theo direction, release pack không dùng. Chạy loop 10 phút, đo nhiệt/throttle, latency có trôi không.</t>
  </si>
  <si>
    <t xml:space="preserve">PSS ≤1.0 GB; latency không tăng &gt;20% khi nóng.</t>
  </si>
  <si>
    <t xml:space="preserve">3.53 GB RAM tổng; LMK có thể kill app.</t>
  </si>
  <si>
    <t xml:space="preserve">Noise stress on device</t>
  </si>
  <si>
    <t xml:space="preserve">Chế độ debug 'file input' để đưa wav eval vào pipeline (tái lập, không phụ thuộc loa/mic). Clean/10/5/0 dB.</t>
  </si>
  <si>
    <t xml:space="preserve">Bảng CER × SNR trên SD712.</t>
  </si>
  <si>
    <t xml:space="preserve">Ablation dual-path + ADR-001</t>
  </si>
  <si>
    <t xml:space="preserve">(1) Branch B nhận raw vs denoised → so ổn định F0/feature. (2) Denoise on/off → CER; chỉ bật mặc định nếu cải thiện ≥2 điểm tuyệt đối.</t>
  </si>
  <si>
    <t xml:space="preserve">2 bảng ablation — bằng chứng cho novelty.</t>
  </si>
  <si>
    <t xml:space="preserve">Benchmark 100 lượt</t>
  </si>
  <si>
    <t xml:space="preserve">Script adb tự động 100 lượt, p50/p95 từng stage + end-to-end sau endpoint. Điều kiện cố định: reboot, pin &gt;50%, rút sạc, airplane.</t>
  </si>
  <si>
    <t xml:space="preserve">CSV chính thức + p50/p95.</t>
  </si>
  <si>
    <t xml:space="preserve">Đây là số duy nhất được đưa vào report.</t>
  </si>
  <si>
    <t xml:space="preserve">Bugfix buffer / KO→VI stretch</t>
  </si>
  <si>
    <t xml:space="preserve">Chỉ làm KO→VI nếu W3 đạt target latency. Nếu không: sửa bug, ổn định.</t>
  </si>
  <si>
    <t xml:space="preserve">Bản release candidate.</t>
  </si>
  <si>
    <t xml:space="preserve">Final benchmark (code freeze)</t>
  </si>
  <si>
    <t xml:space="preserve">Chạy lại toàn bộ benchmark + eval trên bản freeze, đúng phương pháp D21.</t>
  </si>
  <si>
    <t xml:space="preserve">Bảng số cuối, khoá.</t>
  </si>
  <si>
    <t xml:space="preserve">Report: method + results</t>
  </si>
  <si>
    <t xml:space="preserve">Kiến trúc dual-path, gate, bảng latency/CER/ablation. Mục tiêu trượt thì ghi là trượt.</t>
  </si>
  <si>
    <t xml:space="preserve">Draft report phần AI Approach.</t>
  </si>
  <si>
    <t xml:space="preserve">Report: hardware + limitations</t>
  </si>
  <si>
    <t xml:space="preserve">SD712 CPU-first, lý do không dùng NPU (bằng chứng D1), budget vs measured, roadmap QCS6490, giới hạn an toàn y tế.</t>
  </si>
  <si>
    <t xml:space="preserve">Report hoàn chỉnh.</t>
  </si>
  <si>
    <t xml:space="preserve">Slides pitching</t>
  </si>
  <si>
    <t xml:space="preserve">Theo rubric: Problem 15 / AI 35 / Hardware 25 / Business 15 / Team 10.</t>
  </si>
  <si>
    <t xml:space="preserve">Deck hoàn chỉnh.</t>
  </si>
  <si>
    <t xml:space="preserve">Demo video</t>
  </si>
  <si>
    <t xml:space="preserve">Môi trường ồn, airplane mode, có cả case Gate block/ABSTAIN để chứng minh safety.</t>
  </si>
  <si>
    <t xml:space="preserve">Video ≤3 phút.</t>
  </si>
  <si>
    <t xml:space="preserve">Rehearsal + Q&amp;A + submit</t>
  </si>
  <si>
    <t xml:space="preserve">Tập ≥3 lần. Chuẩn bị câu hỏi: vì sao không NPU, vì sao pivot, urgency có phải chẩn đoán không.</t>
  </si>
  <si>
    <t xml:space="preserve">Nộp bài.</t>
  </si>
  <si>
    <t xml:space="preserve">Total est h</t>
  </si>
  <si>
    <t xml:space="preserve">SD712 test device — spec, latency budget, memory budget</t>
  </si>
  <si>
    <t xml:space="preserve">Item</t>
  </si>
  <si>
    <t xml:space="preserve">Value (source: user's Geekbench 7 screenshots)</t>
  </si>
  <si>
    <t xml:space="preserve">SoC</t>
  </si>
  <si>
    <t xml:space="preserve">Qualcomm Snapdragon 712</t>
  </si>
  <si>
    <t xml:space="preserve">CPU topology</t>
  </si>
  <si>
    <t xml:space="preserve">8 cores: 2× @ 2.30 GHz (big) + 6× @ 1.71 GHz (little)</t>
  </si>
  <si>
    <t xml:space="preserve">ISA</t>
  </si>
  <si>
    <t xml:space="preserve">NEON, AES, SHA1/2, NEON-FP16</t>
  </si>
  <si>
    <t xml:space="preserve">RAM total</t>
  </si>
  <si>
    <t xml:space="preserve">3.53 GB</t>
  </si>
  <si>
    <t xml:space="preserve">GPU</t>
  </si>
  <si>
    <t xml:space="preserve">Adreno, OpenCL 2.0, driver 01/05/2021, 1 CU reported</t>
  </si>
  <si>
    <t xml:space="preserve">Geekbench 7 CPU</t>
  </si>
  <si>
    <t xml:space="preserve">Single 462 / Multi 1441</t>
  </si>
  <si>
    <t xml:space="preserve">Geekbench 7 GPU (OpenCL)</t>
  </si>
  <si>
    <t xml:space="preserve">719</t>
  </si>
  <si>
    <t xml:space="preserve">NPU</t>
  </si>
  <si>
    <t xml:space="preserve">Hexagon 685 — ORT-QNN HTP support chưa xác nhận (verify D1)</t>
  </si>
  <si>
    <t xml:space="preserve">Quyết định</t>
  </si>
  <si>
    <t xml:space="preserve">CPU-first INT8; GPU không dùng cho inference; NPU = bonus nếu D1 GO</t>
  </si>
  <si>
    <t xml:space="preserve">Latency budget sau speech endpoint (TARGET, chưa đo)</t>
  </si>
  <si>
    <t xml:space="preserve">Stage</t>
  </si>
  <si>
    <t xml:space="preserve">Core</t>
  </si>
  <si>
    <t xml:space="preserve">Budget ms</t>
  </si>
  <si>
    <t xml:space="preserve">Measured p50 ms</t>
  </si>
  <si>
    <t xml:space="preserve">Delta ms</t>
  </si>
  <si>
    <t xml:space="preserve">ASR finalize</t>
  </si>
  <si>
    <t xml:space="preserve">big ×2</t>
  </si>
  <si>
    <t xml:space="preserve">NMT VI→EN</t>
  </si>
  <si>
    <t xml:space="preserve">NMT EN→KO</t>
  </si>
  <si>
    <t xml:space="preserve">Safety + Gate</t>
  </si>
  <si>
    <t xml:space="preserve">little</t>
  </si>
  <si>
    <t xml:space="preserve">TTS first audio</t>
  </si>
  <si>
    <t xml:space="preserve">Total end-to-end</t>
  </si>
  <si>
    <t xml:space="preserve">Target p50 (proposal)</t>
  </si>
  <si>
    <t xml:space="preserve">Budget còn dư ms</t>
  </si>
  <si>
    <t xml:space="preserve">Memory budget PSS (ƯỚC LƯỢNG, chưa đo)</t>
  </si>
  <si>
    <t xml:space="preserve">Component</t>
  </si>
  <si>
    <t xml:space="preserve">Budget MB</t>
  </si>
  <si>
    <t xml:space="preserve">Measured MB</t>
  </si>
  <si>
    <t xml:space="preserve">Delta MB</t>
  </si>
  <si>
    <t xml:space="preserve">App + ORT runtime + Compose</t>
  </si>
  <si>
    <t xml:space="preserve">Zipformer VI INT8</t>
  </si>
  <si>
    <t xml:space="preserve">Opus-MT VI→EN INT8</t>
  </si>
  <si>
    <t xml:space="preserve">Opus-MT EN→KO INT8</t>
  </si>
  <si>
    <t xml:space="preserve">TTS KO voice</t>
  </si>
  <si>
    <t xml:space="preserve">Audio buffers + Branch B + VAD</t>
  </si>
  <si>
    <t xml:space="preserve">Total</t>
  </si>
  <si>
    <t xml:space="preserve">Cap PSS (giả định: Android + nền chiếm ~2 GB của 3.53 GB)</t>
  </si>
  <si>
    <t xml:space="preserve">Headroom MB</t>
  </si>
  <si>
    <t xml:space="preserve">Progress theo tuần</t>
  </si>
  <si>
    <t xml:space="preserve">Mục tiêu</t>
  </si>
  <si>
    <t xml:space="preserve">Tasks</t>
  </si>
  <si>
    <t xml:space="preserve">Done</t>
  </si>
  <si>
    <t xml:space="preserve">% Done</t>
  </si>
  <si>
    <t xml:space="preserve">Blocked</t>
  </si>
  <si>
    <t xml:space="preserve">W1</t>
  </si>
  <si>
    <t xml:space="preserve">Prototype cơ bản E2E trên laptop (ONNX INT8)</t>
  </si>
  <si>
    <t xml:space="preserve">W2</t>
  </si>
  <si>
    <t xml:space="preserve">Chạy offline E2E trên SD712</t>
  </si>
  <si>
    <t xml:space="preserve">W3</t>
  </si>
  <si>
    <t xml:space="preserve">Tối ưu + đo + ablation</t>
  </si>
  <si>
    <t xml:space="preserve">W4</t>
  </si>
  <si>
    <t xml:space="preserve">Chốt số + report + slides + pitch</t>
  </si>
  <si>
    <t xml:space="preserve">Risk</t>
  </si>
  <si>
    <t xml:space="preserve">Trigger</t>
  </si>
  <si>
    <t xml:space="preserve">Fallback</t>
  </si>
  <si>
    <t xml:space="preserve">Check by</t>
  </si>
  <si>
    <t xml:space="preserve">Hexagon 685 không chạy được ORT-QNN HTP</t>
  </si>
  <si>
    <t xml:space="preserve">D1 probe: node rơi về CPU / init fail</t>
  </si>
  <si>
    <t xml:space="preserve">CPU-first XNNPACK/default EP; ghi rõ trong report</t>
  </si>
  <si>
    <t xml:space="preserve">D1</t>
  </si>
  <si>
    <t xml:space="preserve">Pivot NMT quá chậm</t>
  </si>
  <si>
    <t xml:space="preserve">NMT &gt;700 ms trên máy</t>
  </si>
  <si>
    <t xml:space="preserve">max_len 48, greedy, cắt câu; cân nhắc model direct VI→KO</t>
  </si>
  <si>
    <t xml:space="preserve">D11</t>
  </si>
  <si>
    <t xml:space="preserve">Không có opus-mt en-ko phù hợp</t>
  </si>
  <si>
    <t xml:space="preserve">D3 verify thất bại</t>
  </si>
  <si>
    <t xml:space="preserve">Model đa ngữ nhỏ có license thương mại; ghi thay đổi ADR</t>
  </si>
  <si>
    <t xml:space="preserve">D3</t>
  </si>
  <si>
    <t xml:space="preserve">TTS KO quá nặng</t>
  </si>
  <si>
    <t xml:space="preserve">Size &gt;150 MB hoặc first audio &gt;450 ms</t>
  </si>
  <si>
    <t xml:space="preserve">Voice nhỏ hơn; hiện text trước, audio sau</t>
  </si>
  <si>
    <t xml:space="preserve">D12</t>
  </si>
  <si>
    <t xml:space="preserve">RAM / LMK kill app</t>
  </si>
  <si>
    <t xml:space="preserve">PSS &gt;1.0 GB hoặc app bị kill</t>
  </si>
  <si>
    <t xml:space="preserve">Lazy load theo direction, release session</t>
  </si>
  <si>
    <t xml:space="preserve">D18</t>
  </si>
  <si>
    <t xml:space="preserve">Thermal throttling</t>
  </si>
  <si>
    <t xml:space="preserve">Latency tăng &gt;20% sau 10 phút</t>
  </si>
  <si>
    <t xml:space="preserve">Giảm threads, warm-up ngắn, nghỉ giữa lượt demo</t>
  </si>
  <si>
    <t xml:space="preserve">Branch B không đáng tin</t>
  </si>
  <si>
    <t xml:space="preserve">Không phân biệt được bình thường/gấp trên data tự thu</t>
  </si>
  <si>
    <t xml:space="preserve">Gate trả UNKNOWN mạnh hơn; trình bày là experimental</t>
  </si>
  <si>
    <t xml:space="preserve">D20</t>
  </si>
  <si>
    <t xml:space="preserve">1 người quá tải</t>
  </si>
  <si>
    <t xml:space="preserve">Tuần nào % Done &lt;70% cuối tuần</t>
  </si>
  <si>
    <t xml:space="preserve">Cắt P1/P2 trước, giữ P0</t>
  </si>
  <si>
    <t xml:space="preserve">Mỗi CN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</si>
</sst>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dd/mm&quot; (&quot;ddd\)"/>
    <numFmt numFmtId="167" formatCode="General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DCE6F1"/>
        <bgColor rgb="FFEDE7F6"/>
      </patternFill>
    </fill>
    <fill>
      <patternFill patternType="solid">
        <fgColor rgb="FFE2EFDA"/>
        <bgColor rgb="FFEDEDED"/>
      </patternFill>
    </fill>
    <fill>
      <patternFill patternType="solid">
        <fgColor rgb="FFEDE7F6"/>
        <bgColor rgb="FFEDEDED"/>
      </patternFill>
    </fill>
    <fill>
      <patternFill patternType="solid">
        <fgColor rgb="FFEDEDED"/>
        <bgColor rgb="FFEDE7F6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CE6F1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CE4D6"/>
      <rgbColor rgb="FFEDE7F6"/>
      <rgbColor rgb="FFEDEDED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4" min="3" style="0" width="11"/>
    <col collapsed="false" customWidth="true" hidden="false" outlineLevel="0" max="5" min="5" style="0" width="26"/>
    <col collapsed="false" customWidth="true" hidden="false" outlineLevel="0" max="6" min="6" style="0" width="6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24"/>
  </cols>
  <sheetData>
    <row r="1" customFormat="false" ht="16.15" hidden="false" customHeight="false" outlineLevel="0" collapsed="false">
      <c r="A1" s="4" t="s">
        <v>11</v>
      </c>
    </row>
    <row r="2" customFormat="false" ht="15" hidden="false" customHeight="false" outlineLevel="0" collapsed="false">
      <c r="B2" s="5" t="s">
        <v>12</v>
      </c>
      <c r="C2" s="6" t="n">
        <v>46302</v>
      </c>
    </row>
    <row r="4" customFormat="false" ht="23.85" hidden="false" customHeight="false" outlineLevel="0" collapsed="false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</row>
    <row r="5" customFormat="false" ht="46.25" hidden="false" customHeight="false" outlineLevel="0" collapsed="false">
      <c r="A5" s="8" t="n">
        <v>1</v>
      </c>
      <c r="B5" s="8" t="str">
        <f aca="false">"W"&amp;ROUNDUP(A5/7,0)</f>
        <v>W1</v>
      </c>
      <c r="C5" s="9" t="n">
        <f aca="false">$C$2+A5-1</f>
        <v>46302</v>
      </c>
      <c r="D5" s="10" t="s">
        <v>26</v>
      </c>
      <c r="E5" s="8" t="s">
        <v>27</v>
      </c>
      <c r="F5" s="8" t="s">
        <v>28</v>
      </c>
      <c r="G5" s="8" t="s">
        <v>29</v>
      </c>
      <c r="H5" s="8" t="s">
        <v>30</v>
      </c>
      <c r="I5" s="11" t="n">
        <v>4</v>
      </c>
      <c r="J5" s="8" t="s">
        <v>31</v>
      </c>
      <c r="K5" s="12" t="s">
        <v>32</v>
      </c>
      <c r="L5" s="12"/>
      <c r="M5" s="12"/>
    </row>
    <row r="6" customFormat="false" ht="46.25" hidden="false" customHeight="false" outlineLevel="0" collapsed="false">
      <c r="A6" s="8" t="n">
        <v>1</v>
      </c>
      <c r="B6" s="8" t="str">
        <f aca="false">"W"&amp;ROUNDUP(A6/7,0)</f>
        <v>W1</v>
      </c>
      <c r="C6" s="9" t="n">
        <f aca="false">$C$2+A6-1</f>
        <v>46302</v>
      </c>
      <c r="D6" s="13" t="s">
        <v>33</v>
      </c>
      <c r="E6" s="8" t="s">
        <v>34</v>
      </c>
      <c r="F6" s="8" t="s">
        <v>35</v>
      </c>
      <c r="G6" s="8" t="s">
        <v>36</v>
      </c>
      <c r="H6" s="8" t="s">
        <v>37</v>
      </c>
      <c r="I6" s="11" t="n">
        <v>4</v>
      </c>
      <c r="J6" s="8" t="s">
        <v>31</v>
      </c>
      <c r="K6" s="12" t="s">
        <v>32</v>
      </c>
      <c r="L6" s="12"/>
      <c r="M6" s="12"/>
    </row>
    <row r="7" customFormat="false" ht="35.05" hidden="false" customHeight="false" outlineLevel="0" collapsed="false">
      <c r="A7" s="8" t="n">
        <v>2</v>
      </c>
      <c r="B7" s="8" t="str">
        <f aca="false">"W"&amp;ROUNDUP(A7/7,0)</f>
        <v>W1</v>
      </c>
      <c r="C7" s="9" t="n">
        <f aca="false">$C$2+A7-1</f>
        <v>46303</v>
      </c>
      <c r="D7" s="14" t="s">
        <v>38</v>
      </c>
      <c r="E7" s="8" t="s">
        <v>39</v>
      </c>
      <c r="F7" s="8" t="s">
        <v>40</v>
      </c>
      <c r="G7" s="8" t="s">
        <v>41</v>
      </c>
      <c r="H7" s="8" t="s">
        <v>42</v>
      </c>
      <c r="I7" s="11" t="n">
        <v>5</v>
      </c>
      <c r="J7" s="8" t="s">
        <v>31</v>
      </c>
      <c r="K7" s="12" t="s">
        <v>32</v>
      </c>
      <c r="L7" s="12"/>
      <c r="M7" s="12"/>
    </row>
    <row r="8" customFormat="false" ht="15" hidden="false" customHeight="false" outlineLevel="0" collapsed="false">
      <c r="A8" s="8" t="n">
        <v>2</v>
      </c>
      <c r="B8" s="8" t="str">
        <f aca="false">"W"&amp;ROUNDUP(A8/7,0)</f>
        <v>W1</v>
      </c>
      <c r="C8" s="9" t="n">
        <f aca="false">$C$2+A8-1</f>
        <v>46303</v>
      </c>
      <c r="D8" s="14" t="s">
        <v>38</v>
      </c>
      <c r="E8" s="8" t="s">
        <v>43</v>
      </c>
      <c r="F8" s="8" t="s">
        <v>44</v>
      </c>
      <c r="G8" s="8" t="s">
        <v>45</v>
      </c>
      <c r="H8" s="8" t="s">
        <v>37</v>
      </c>
      <c r="I8" s="11" t="n">
        <v>2</v>
      </c>
      <c r="J8" s="8" t="s">
        <v>46</v>
      </c>
      <c r="K8" s="12" t="s">
        <v>32</v>
      </c>
      <c r="L8" s="12"/>
      <c r="M8" s="12"/>
    </row>
    <row r="9" customFormat="false" ht="35.05" hidden="false" customHeight="false" outlineLevel="0" collapsed="false">
      <c r="A9" s="8" t="n">
        <v>3</v>
      </c>
      <c r="B9" s="8" t="str">
        <f aca="false">"W"&amp;ROUNDUP(A9/7,0)</f>
        <v>W1</v>
      </c>
      <c r="C9" s="9" t="n">
        <f aca="false">$C$2+A9-1</f>
        <v>46304</v>
      </c>
      <c r="D9" s="14" t="s">
        <v>38</v>
      </c>
      <c r="E9" s="8" t="s">
        <v>47</v>
      </c>
      <c r="F9" s="8" t="s">
        <v>48</v>
      </c>
      <c r="G9" s="8" t="s">
        <v>49</v>
      </c>
      <c r="H9" s="8" t="s">
        <v>50</v>
      </c>
      <c r="I9" s="11" t="n">
        <v>6</v>
      </c>
      <c r="J9" s="8" t="s">
        <v>31</v>
      </c>
      <c r="K9" s="12" t="s">
        <v>32</v>
      </c>
      <c r="L9" s="12"/>
      <c r="M9" s="12"/>
    </row>
    <row r="10" customFormat="false" ht="23.85" hidden="false" customHeight="false" outlineLevel="0" collapsed="false">
      <c r="A10" s="8" t="n">
        <v>3</v>
      </c>
      <c r="B10" s="8" t="str">
        <f aca="false">"W"&amp;ROUNDUP(A10/7,0)</f>
        <v>W1</v>
      </c>
      <c r="C10" s="9" t="n">
        <f aca="false">$C$2+A10-1</f>
        <v>46304</v>
      </c>
      <c r="D10" s="14" t="s">
        <v>38</v>
      </c>
      <c r="E10" s="8" t="s">
        <v>51</v>
      </c>
      <c r="F10" s="8" t="s">
        <v>52</v>
      </c>
      <c r="G10" s="8" t="s">
        <v>53</v>
      </c>
      <c r="H10" s="8" t="s">
        <v>54</v>
      </c>
      <c r="I10" s="11" t="n">
        <v>3</v>
      </c>
      <c r="J10" s="8" t="s">
        <v>55</v>
      </c>
      <c r="K10" s="12" t="s">
        <v>32</v>
      </c>
      <c r="L10" s="12"/>
      <c r="M10" s="12"/>
    </row>
    <row r="11" customFormat="false" ht="35.05" hidden="false" customHeight="false" outlineLevel="0" collapsed="false">
      <c r="A11" s="8" t="n">
        <v>4</v>
      </c>
      <c r="B11" s="8" t="str">
        <f aca="false">"W"&amp;ROUNDUP(A11/7,0)</f>
        <v>W1</v>
      </c>
      <c r="C11" s="9" t="n">
        <f aca="false">$C$2+A11-1</f>
        <v>46305</v>
      </c>
      <c r="D11" s="14" t="s">
        <v>38</v>
      </c>
      <c r="E11" s="8" t="s">
        <v>56</v>
      </c>
      <c r="F11" s="8" t="s">
        <v>57</v>
      </c>
      <c r="G11" s="8" t="s">
        <v>58</v>
      </c>
      <c r="H11" s="8" t="s">
        <v>59</v>
      </c>
      <c r="I11" s="11" t="n">
        <v>6</v>
      </c>
      <c r="J11" s="8" t="s">
        <v>31</v>
      </c>
      <c r="K11" s="12" t="s">
        <v>32</v>
      </c>
      <c r="L11" s="12"/>
      <c r="M11" s="12"/>
    </row>
    <row r="12" customFormat="false" ht="15" hidden="false" customHeight="false" outlineLevel="0" collapsed="false">
      <c r="A12" s="8" t="n">
        <v>4</v>
      </c>
      <c r="B12" s="8" t="str">
        <f aca="false">"W"&amp;ROUNDUP(A12/7,0)</f>
        <v>W1</v>
      </c>
      <c r="C12" s="9" t="n">
        <f aca="false">$C$2+A12-1</f>
        <v>46305</v>
      </c>
      <c r="D12" s="15" t="s">
        <v>60</v>
      </c>
      <c r="E12" s="8" t="s">
        <v>61</v>
      </c>
      <c r="F12" s="8" t="s">
        <v>62</v>
      </c>
      <c r="G12" s="8" t="s">
        <v>63</v>
      </c>
      <c r="H12" s="8" t="s">
        <v>37</v>
      </c>
      <c r="I12" s="11" t="n">
        <v>1</v>
      </c>
      <c r="J12" s="8" t="s">
        <v>55</v>
      </c>
      <c r="K12" s="12" t="s">
        <v>32</v>
      </c>
      <c r="L12" s="12"/>
      <c r="M12" s="12"/>
    </row>
    <row r="13" customFormat="false" ht="35.05" hidden="false" customHeight="false" outlineLevel="0" collapsed="false">
      <c r="A13" s="8" t="n">
        <v>5</v>
      </c>
      <c r="B13" s="8" t="str">
        <f aca="false">"W"&amp;ROUNDUP(A13/7,0)</f>
        <v>W1</v>
      </c>
      <c r="C13" s="9" t="n">
        <f aca="false">$C$2+A13-1</f>
        <v>46306</v>
      </c>
      <c r="D13" s="13" t="s">
        <v>33</v>
      </c>
      <c r="E13" s="8" t="s">
        <v>64</v>
      </c>
      <c r="F13" s="8" t="s">
        <v>65</v>
      </c>
      <c r="G13" s="8" t="s">
        <v>66</v>
      </c>
      <c r="H13" s="8" t="s">
        <v>67</v>
      </c>
      <c r="I13" s="11" t="n">
        <v>8</v>
      </c>
      <c r="J13" s="8" t="s">
        <v>31</v>
      </c>
      <c r="K13" s="12" t="s">
        <v>32</v>
      </c>
      <c r="L13" s="12"/>
      <c r="M13" s="12"/>
    </row>
    <row r="14" customFormat="false" ht="38.05" hidden="false" customHeight="false" outlineLevel="0" collapsed="false">
      <c r="A14" s="8" t="n">
        <v>5</v>
      </c>
      <c r="B14" s="8" t="str">
        <f aca="false">"W"&amp;ROUNDUP(A14/7,0)</f>
        <v>W1</v>
      </c>
      <c r="C14" s="9" t="n">
        <f aca="false">$C$2+A14-1</f>
        <v>46306</v>
      </c>
      <c r="D14" s="13" t="s">
        <v>33</v>
      </c>
      <c r="E14" s="8" t="s">
        <v>68</v>
      </c>
      <c r="F14" s="8" t="s">
        <v>69</v>
      </c>
      <c r="G14" s="8" t="s">
        <v>70</v>
      </c>
      <c r="H14" s="8" t="s">
        <v>71</v>
      </c>
      <c r="I14" s="11" t="n">
        <v>3</v>
      </c>
      <c r="J14" s="8" t="s">
        <v>31</v>
      </c>
      <c r="K14" s="12" t="s">
        <v>32</v>
      </c>
      <c r="L14" s="12"/>
      <c r="M14" s="12"/>
    </row>
    <row r="15" customFormat="false" ht="35.05" hidden="false" customHeight="false" outlineLevel="0" collapsed="false">
      <c r="A15" s="8" t="n">
        <v>6</v>
      </c>
      <c r="B15" s="8" t="str">
        <f aca="false">"W"&amp;ROUNDUP(A15/7,0)</f>
        <v>W1</v>
      </c>
      <c r="C15" s="9" t="n">
        <f aca="false">$C$2+A15-1</f>
        <v>46307</v>
      </c>
      <c r="D15" s="14" t="s">
        <v>38</v>
      </c>
      <c r="E15" s="8" t="s">
        <v>72</v>
      </c>
      <c r="F15" s="8" t="s">
        <v>73</v>
      </c>
      <c r="G15" s="8" t="s">
        <v>74</v>
      </c>
      <c r="H15" s="8" t="s">
        <v>75</v>
      </c>
      <c r="I15" s="11" t="n">
        <v>6</v>
      </c>
      <c r="J15" s="8" t="s">
        <v>55</v>
      </c>
      <c r="K15" s="12" t="s">
        <v>32</v>
      </c>
      <c r="L15" s="12"/>
      <c r="M15" s="12"/>
    </row>
    <row r="16" customFormat="false" ht="23.85" hidden="false" customHeight="false" outlineLevel="0" collapsed="false">
      <c r="A16" s="8" t="n">
        <v>6</v>
      </c>
      <c r="B16" s="8" t="str">
        <f aca="false">"W"&amp;ROUNDUP(A16/7,0)</f>
        <v>W1</v>
      </c>
      <c r="C16" s="9" t="n">
        <f aca="false">$C$2+A16-1</f>
        <v>46307</v>
      </c>
      <c r="D16" s="16" t="s">
        <v>76</v>
      </c>
      <c r="E16" s="8" t="s">
        <v>77</v>
      </c>
      <c r="F16" s="8" t="s">
        <v>78</v>
      </c>
      <c r="G16" s="8" t="s">
        <v>79</v>
      </c>
      <c r="H16" s="8" t="s">
        <v>37</v>
      </c>
      <c r="I16" s="11" t="n">
        <v>3</v>
      </c>
      <c r="J16" s="8" t="s">
        <v>31</v>
      </c>
      <c r="K16" s="12" t="s">
        <v>32</v>
      </c>
      <c r="L16" s="12"/>
      <c r="M16" s="12"/>
    </row>
    <row r="17" customFormat="false" ht="23.85" hidden="false" customHeight="false" outlineLevel="0" collapsed="false">
      <c r="A17" s="8" t="n">
        <v>7</v>
      </c>
      <c r="B17" s="8" t="str">
        <f aca="false">"W"&amp;ROUNDUP(A17/7,0)</f>
        <v>W1</v>
      </c>
      <c r="C17" s="9" t="n">
        <f aca="false">$C$2+A17-1</f>
        <v>46308</v>
      </c>
      <c r="D17" s="17" t="s">
        <v>80</v>
      </c>
      <c r="E17" s="8" t="s">
        <v>81</v>
      </c>
      <c r="F17" s="8" t="s">
        <v>82</v>
      </c>
      <c r="G17" s="8" t="s">
        <v>83</v>
      </c>
      <c r="H17" s="8" t="s">
        <v>37</v>
      </c>
      <c r="I17" s="11" t="n">
        <v>8</v>
      </c>
      <c r="J17" s="8" t="s">
        <v>31</v>
      </c>
      <c r="K17" s="12" t="s">
        <v>32</v>
      </c>
      <c r="L17" s="12"/>
      <c r="M17" s="12"/>
    </row>
    <row r="18" customFormat="false" ht="35.05" hidden="false" customHeight="false" outlineLevel="0" collapsed="false">
      <c r="A18" s="8" t="n">
        <v>8</v>
      </c>
      <c r="B18" s="8" t="str">
        <f aca="false">"W"&amp;ROUNDUP(A18/7,0)</f>
        <v>W2</v>
      </c>
      <c r="C18" s="9" t="n">
        <f aca="false">$C$2+A18-1</f>
        <v>46309</v>
      </c>
      <c r="D18" s="10" t="s">
        <v>26</v>
      </c>
      <c r="E18" s="8" t="s">
        <v>84</v>
      </c>
      <c r="F18" s="8" t="s">
        <v>85</v>
      </c>
      <c r="G18" s="8" t="s">
        <v>86</v>
      </c>
      <c r="H18" s="8" t="s">
        <v>87</v>
      </c>
      <c r="I18" s="11" t="n">
        <v>8</v>
      </c>
      <c r="J18" s="8" t="s">
        <v>31</v>
      </c>
      <c r="K18" s="12" t="s">
        <v>32</v>
      </c>
      <c r="L18" s="12"/>
      <c r="M18" s="12"/>
    </row>
    <row r="19" customFormat="false" ht="23.85" hidden="false" customHeight="false" outlineLevel="0" collapsed="false">
      <c r="A19" s="8" t="n">
        <v>9</v>
      </c>
      <c r="B19" s="8" t="str">
        <f aca="false">"W"&amp;ROUNDUP(A19/7,0)</f>
        <v>W2</v>
      </c>
      <c r="C19" s="9" t="n">
        <f aca="false">$C$2+A19-1</f>
        <v>46310</v>
      </c>
      <c r="D19" s="10" t="s">
        <v>26</v>
      </c>
      <c r="E19" s="8" t="s">
        <v>88</v>
      </c>
      <c r="F19" s="8" t="s">
        <v>89</v>
      </c>
      <c r="G19" s="8" t="s">
        <v>90</v>
      </c>
      <c r="H19" s="8" t="s">
        <v>91</v>
      </c>
      <c r="I19" s="11" t="n">
        <v>6</v>
      </c>
      <c r="J19" s="8" t="s">
        <v>31</v>
      </c>
      <c r="K19" s="12" t="s">
        <v>32</v>
      </c>
      <c r="L19" s="12"/>
      <c r="M19" s="12"/>
    </row>
    <row r="20" customFormat="false" ht="23.85" hidden="false" customHeight="false" outlineLevel="0" collapsed="false">
      <c r="A20" s="8" t="n">
        <v>9</v>
      </c>
      <c r="B20" s="8" t="str">
        <f aca="false">"W"&amp;ROUNDUP(A20/7,0)</f>
        <v>W2</v>
      </c>
      <c r="C20" s="9" t="n">
        <f aca="false">$C$2+A20-1</f>
        <v>46310</v>
      </c>
      <c r="D20" s="18" t="s">
        <v>92</v>
      </c>
      <c r="E20" s="8" t="s">
        <v>93</v>
      </c>
      <c r="F20" s="8" t="s">
        <v>94</v>
      </c>
      <c r="G20" s="8" t="s">
        <v>95</v>
      </c>
      <c r="H20" s="8" t="s">
        <v>37</v>
      </c>
      <c r="I20" s="11" t="n">
        <v>3</v>
      </c>
      <c r="J20" s="8" t="s">
        <v>31</v>
      </c>
      <c r="K20" s="12" t="s">
        <v>32</v>
      </c>
      <c r="L20" s="12"/>
      <c r="M20" s="12"/>
    </row>
    <row r="21" customFormat="false" ht="35.05" hidden="false" customHeight="false" outlineLevel="0" collapsed="false">
      <c r="A21" s="8" t="n">
        <v>10</v>
      </c>
      <c r="B21" s="8" t="str">
        <f aca="false">"W"&amp;ROUNDUP(A21/7,0)</f>
        <v>W2</v>
      </c>
      <c r="C21" s="9" t="n">
        <f aca="false">$C$2+A21-1</f>
        <v>46311</v>
      </c>
      <c r="D21" s="13" t="s">
        <v>33</v>
      </c>
      <c r="E21" s="8" t="s">
        <v>96</v>
      </c>
      <c r="F21" s="8" t="s">
        <v>97</v>
      </c>
      <c r="G21" s="8" t="s">
        <v>98</v>
      </c>
      <c r="H21" s="8" t="s">
        <v>99</v>
      </c>
      <c r="I21" s="11" t="n">
        <v>10</v>
      </c>
      <c r="J21" s="8" t="s">
        <v>31</v>
      </c>
      <c r="K21" s="12" t="s">
        <v>32</v>
      </c>
      <c r="L21" s="12"/>
      <c r="M21" s="12"/>
    </row>
    <row r="22" customFormat="false" ht="23.85" hidden="false" customHeight="false" outlineLevel="0" collapsed="false">
      <c r="A22" s="8" t="n">
        <v>11</v>
      </c>
      <c r="B22" s="8" t="str">
        <f aca="false">"W"&amp;ROUNDUP(A22/7,0)</f>
        <v>W2</v>
      </c>
      <c r="C22" s="9" t="n">
        <f aca="false">$C$2+A22-1</f>
        <v>46312</v>
      </c>
      <c r="D22" s="10" t="s">
        <v>26</v>
      </c>
      <c r="E22" s="8" t="s">
        <v>100</v>
      </c>
      <c r="F22" s="8" t="s">
        <v>101</v>
      </c>
      <c r="G22" s="8" t="s">
        <v>102</v>
      </c>
      <c r="H22" s="8" t="s">
        <v>103</v>
      </c>
      <c r="I22" s="11" t="n">
        <v>10</v>
      </c>
      <c r="J22" s="8" t="s">
        <v>31</v>
      </c>
      <c r="K22" s="12" t="s">
        <v>32</v>
      </c>
      <c r="L22" s="12"/>
      <c r="M22" s="12"/>
    </row>
    <row r="23" customFormat="false" ht="23.85" hidden="false" customHeight="false" outlineLevel="0" collapsed="false">
      <c r="A23" s="8" t="n">
        <v>12</v>
      </c>
      <c r="B23" s="8" t="str">
        <f aca="false">"W"&amp;ROUNDUP(A23/7,0)</f>
        <v>W2</v>
      </c>
      <c r="C23" s="9" t="n">
        <f aca="false">$C$2+A23-1</f>
        <v>46313</v>
      </c>
      <c r="D23" s="10" t="s">
        <v>26</v>
      </c>
      <c r="E23" s="8" t="s">
        <v>104</v>
      </c>
      <c r="F23" s="8" t="s">
        <v>105</v>
      </c>
      <c r="G23" s="8" t="s">
        <v>106</v>
      </c>
      <c r="H23" s="8" t="s">
        <v>107</v>
      </c>
      <c r="I23" s="11" t="n">
        <v>8</v>
      </c>
      <c r="J23" s="8" t="s">
        <v>31</v>
      </c>
      <c r="K23" s="12" t="s">
        <v>32</v>
      </c>
      <c r="L23" s="12"/>
      <c r="M23" s="12"/>
    </row>
    <row r="24" customFormat="false" ht="35.05" hidden="false" customHeight="false" outlineLevel="0" collapsed="false">
      <c r="A24" s="8" t="n">
        <v>13</v>
      </c>
      <c r="B24" s="8" t="str">
        <f aca="false">"W"&amp;ROUNDUP(A24/7,0)</f>
        <v>W2</v>
      </c>
      <c r="C24" s="9" t="n">
        <f aca="false">$C$2+A24-1</f>
        <v>46314</v>
      </c>
      <c r="D24" s="18" t="s">
        <v>92</v>
      </c>
      <c r="E24" s="8" t="s">
        <v>108</v>
      </c>
      <c r="F24" s="8" t="s">
        <v>109</v>
      </c>
      <c r="G24" s="8" t="s">
        <v>110</v>
      </c>
      <c r="H24" s="8" t="s">
        <v>111</v>
      </c>
      <c r="I24" s="11" t="n">
        <v>6</v>
      </c>
      <c r="J24" s="8" t="s">
        <v>55</v>
      </c>
      <c r="K24" s="12" t="s">
        <v>32</v>
      </c>
      <c r="L24" s="12"/>
      <c r="M24" s="12"/>
    </row>
    <row r="25" customFormat="false" ht="15" hidden="false" customHeight="false" outlineLevel="0" collapsed="false">
      <c r="A25" s="8" t="n">
        <v>13</v>
      </c>
      <c r="B25" s="8" t="str">
        <f aca="false">"W"&amp;ROUNDUP(A25/7,0)</f>
        <v>W2</v>
      </c>
      <c r="C25" s="9" t="n">
        <f aca="false">$C$2+A25-1</f>
        <v>46314</v>
      </c>
      <c r="D25" s="13" t="s">
        <v>33</v>
      </c>
      <c r="E25" s="8" t="s">
        <v>112</v>
      </c>
      <c r="F25" s="8" t="s">
        <v>113</v>
      </c>
      <c r="G25" s="8" t="s">
        <v>114</v>
      </c>
      <c r="H25" s="8" t="s">
        <v>115</v>
      </c>
      <c r="I25" s="11" t="n">
        <v>4</v>
      </c>
      <c r="J25" s="8" t="s">
        <v>55</v>
      </c>
      <c r="K25" s="12" t="s">
        <v>32</v>
      </c>
      <c r="L25" s="12"/>
      <c r="M25" s="12"/>
    </row>
    <row r="26" customFormat="false" ht="23.85" hidden="false" customHeight="false" outlineLevel="0" collapsed="false">
      <c r="A26" s="8" t="n">
        <v>14</v>
      </c>
      <c r="B26" s="8" t="str">
        <f aca="false">"W"&amp;ROUNDUP(A26/7,0)</f>
        <v>W2</v>
      </c>
      <c r="C26" s="9" t="n">
        <f aca="false">$C$2+A26-1</f>
        <v>46315</v>
      </c>
      <c r="D26" s="17" t="s">
        <v>80</v>
      </c>
      <c r="E26" s="8" t="s">
        <v>116</v>
      </c>
      <c r="F26" s="8" t="s">
        <v>117</v>
      </c>
      <c r="G26" s="8" t="s">
        <v>118</v>
      </c>
      <c r="H26" s="8" t="s">
        <v>119</v>
      </c>
      <c r="I26" s="11" t="n">
        <v>8</v>
      </c>
      <c r="J26" s="8" t="s">
        <v>31</v>
      </c>
      <c r="K26" s="12" t="s">
        <v>32</v>
      </c>
      <c r="L26" s="12"/>
      <c r="M26" s="12"/>
    </row>
    <row r="27" customFormat="false" ht="23.85" hidden="false" customHeight="false" outlineLevel="0" collapsed="false">
      <c r="A27" s="8" t="n">
        <v>15</v>
      </c>
      <c r="B27" s="8" t="str">
        <f aca="false">"W"&amp;ROUNDUP(A27/7,0)</f>
        <v>W3</v>
      </c>
      <c r="C27" s="9" t="n">
        <f aca="false">$C$2+A27-1</f>
        <v>46316</v>
      </c>
      <c r="D27" s="10" t="s">
        <v>26</v>
      </c>
      <c r="E27" s="8" t="s">
        <v>120</v>
      </c>
      <c r="F27" s="8" t="s">
        <v>121</v>
      </c>
      <c r="G27" s="8" t="s">
        <v>122</v>
      </c>
      <c r="H27" s="8" t="s">
        <v>37</v>
      </c>
      <c r="I27" s="11" t="n">
        <v>8</v>
      </c>
      <c r="J27" s="8" t="s">
        <v>31</v>
      </c>
      <c r="K27" s="12" t="s">
        <v>32</v>
      </c>
      <c r="L27" s="12"/>
      <c r="M27" s="12"/>
    </row>
    <row r="28" customFormat="false" ht="23.85" hidden="false" customHeight="false" outlineLevel="0" collapsed="false">
      <c r="A28" s="8" t="n">
        <v>16</v>
      </c>
      <c r="B28" s="8" t="str">
        <f aca="false">"W"&amp;ROUNDUP(A28/7,0)</f>
        <v>W3</v>
      </c>
      <c r="C28" s="9" t="n">
        <f aca="false">$C$2+A28-1</f>
        <v>46317</v>
      </c>
      <c r="D28" s="14" t="s">
        <v>38</v>
      </c>
      <c r="E28" s="8" t="s">
        <v>123</v>
      </c>
      <c r="F28" s="8" t="s">
        <v>124</v>
      </c>
      <c r="G28" s="8" t="s">
        <v>125</v>
      </c>
      <c r="H28" s="8" t="s">
        <v>126</v>
      </c>
      <c r="I28" s="11" t="n">
        <v>6</v>
      </c>
      <c r="J28" s="8" t="s">
        <v>55</v>
      </c>
      <c r="K28" s="12" t="s">
        <v>32</v>
      </c>
      <c r="L28" s="12"/>
      <c r="M28" s="12"/>
    </row>
    <row r="29" customFormat="false" ht="23.85" hidden="false" customHeight="false" outlineLevel="0" collapsed="false">
      <c r="A29" s="8" t="n">
        <v>17</v>
      </c>
      <c r="B29" s="8" t="str">
        <f aca="false">"W"&amp;ROUNDUP(A29/7,0)</f>
        <v>W3</v>
      </c>
      <c r="C29" s="9" t="n">
        <f aca="false">$C$2+A29-1</f>
        <v>46318</v>
      </c>
      <c r="D29" s="13" t="s">
        <v>33</v>
      </c>
      <c r="E29" s="8" t="s">
        <v>127</v>
      </c>
      <c r="F29" s="8" t="s">
        <v>128</v>
      </c>
      <c r="G29" s="8" t="s">
        <v>129</v>
      </c>
      <c r="H29" s="8" t="s">
        <v>37</v>
      </c>
      <c r="I29" s="11" t="n">
        <v>8</v>
      </c>
      <c r="J29" s="8" t="s">
        <v>31</v>
      </c>
      <c r="K29" s="12" t="s">
        <v>32</v>
      </c>
      <c r="L29" s="12"/>
      <c r="M29" s="12"/>
    </row>
    <row r="30" customFormat="false" ht="23.85" hidden="false" customHeight="false" outlineLevel="0" collapsed="false">
      <c r="A30" s="8" t="n">
        <v>18</v>
      </c>
      <c r="B30" s="8" t="str">
        <f aca="false">"W"&amp;ROUNDUP(A30/7,0)</f>
        <v>W3</v>
      </c>
      <c r="C30" s="9" t="n">
        <f aca="false">$C$2+A30-1</f>
        <v>46319</v>
      </c>
      <c r="D30" s="10" t="s">
        <v>26</v>
      </c>
      <c r="E30" s="8" t="s">
        <v>130</v>
      </c>
      <c r="F30" s="8" t="s">
        <v>131</v>
      </c>
      <c r="G30" s="8" t="s">
        <v>132</v>
      </c>
      <c r="H30" s="8" t="s">
        <v>133</v>
      </c>
      <c r="I30" s="11" t="n">
        <v>8</v>
      </c>
      <c r="J30" s="8" t="s">
        <v>31</v>
      </c>
      <c r="K30" s="12" t="s">
        <v>32</v>
      </c>
      <c r="L30" s="12"/>
      <c r="M30" s="12"/>
    </row>
    <row r="31" customFormat="false" ht="23.85" hidden="false" customHeight="false" outlineLevel="0" collapsed="false">
      <c r="A31" s="8" t="n">
        <v>19</v>
      </c>
      <c r="B31" s="8" t="str">
        <f aca="false">"W"&amp;ROUNDUP(A31/7,0)</f>
        <v>W3</v>
      </c>
      <c r="C31" s="9" t="n">
        <f aca="false">$C$2+A31-1</f>
        <v>46320</v>
      </c>
      <c r="D31" s="16" t="s">
        <v>76</v>
      </c>
      <c r="E31" s="8" t="s">
        <v>134</v>
      </c>
      <c r="F31" s="8" t="s">
        <v>135</v>
      </c>
      <c r="G31" s="8" t="s">
        <v>136</v>
      </c>
      <c r="H31" s="8" t="s">
        <v>37</v>
      </c>
      <c r="I31" s="11" t="n">
        <v>8</v>
      </c>
      <c r="J31" s="8" t="s">
        <v>31</v>
      </c>
      <c r="K31" s="12" t="s">
        <v>32</v>
      </c>
      <c r="L31" s="12"/>
      <c r="M31" s="12"/>
    </row>
    <row r="32" customFormat="false" ht="23.85" hidden="false" customHeight="false" outlineLevel="0" collapsed="false">
      <c r="A32" s="8" t="n">
        <v>20</v>
      </c>
      <c r="B32" s="8" t="str">
        <f aca="false">"W"&amp;ROUNDUP(A32/7,0)</f>
        <v>W3</v>
      </c>
      <c r="C32" s="9" t="n">
        <f aca="false">$C$2+A32-1</f>
        <v>46321</v>
      </c>
      <c r="D32" s="16" t="s">
        <v>76</v>
      </c>
      <c r="E32" s="8" t="s">
        <v>137</v>
      </c>
      <c r="F32" s="8" t="s">
        <v>138</v>
      </c>
      <c r="G32" s="8" t="s">
        <v>139</v>
      </c>
      <c r="H32" s="8" t="s">
        <v>37</v>
      </c>
      <c r="I32" s="11" t="n">
        <v>8</v>
      </c>
      <c r="J32" s="8" t="s">
        <v>31</v>
      </c>
      <c r="K32" s="12" t="s">
        <v>32</v>
      </c>
      <c r="L32" s="12"/>
      <c r="M32" s="12"/>
    </row>
    <row r="33" customFormat="false" ht="23.85" hidden="false" customHeight="false" outlineLevel="0" collapsed="false">
      <c r="A33" s="8" t="n">
        <v>21</v>
      </c>
      <c r="B33" s="8" t="str">
        <f aca="false">"W"&amp;ROUNDUP(A33/7,0)</f>
        <v>W3</v>
      </c>
      <c r="C33" s="9" t="n">
        <f aca="false">$C$2+A33-1</f>
        <v>46322</v>
      </c>
      <c r="D33" s="16" t="s">
        <v>76</v>
      </c>
      <c r="E33" s="8" t="s">
        <v>140</v>
      </c>
      <c r="F33" s="8" t="s">
        <v>141</v>
      </c>
      <c r="G33" s="8" t="s">
        <v>142</v>
      </c>
      <c r="H33" s="8" t="s">
        <v>143</v>
      </c>
      <c r="I33" s="11" t="n">
        <v>8</v>
      </c>
      <c r="J33" s="8" t="s">
        <v>31</v>
      </c>
      <c r="K33" s="12" t="s">
        <v>32</v>
      </c>
      <c r="L33" s="12"/>
      <c r="M33" s="12"/>
    </row>
    <row r="34" customFormat="false" ht="15" hidden="false" customHeight="false" outlineLevel="0" collapsed="false">
      <c r="A34" s="8" t="n">
        <v>22</v>
      </c>
      <c r="B34" s="8" t="str">
        <f aca="false">"W"&amp;ROUNDUP(A34/7,0)</f>
        <v>W4</v>
      </c>
      <c r="C34" s="9" t="n">
        <f aca="false">$C$2+A34-1</f>
        <v>46323</v>
      </c>
      <c r="D34" s="17" t="s">
        <v>80</v>
      </c>
      <c r="E34" s="8" t="s">
        <v>144</v>
      </c>
      <c r="F34" s="8" t="s">
        <v>145</v>
      </c>
      <c r="G34" s="8" t="s">
        <v>146</v>
      </c>
      <c r="H34" s="8" t="s">
        <v>37</v>
      </c>
      <c r="I34" s="11" t="n">
        <v>10</v>
      </c>
      <c r="J34" s="8" t="s">
        <v>55</v>
      </c>
      <c r="K34" s="12" t="s">
        <v>32</v>
      </c>
      <c r="L34" s="12"/>
      <c r="M34" s="12"/>
    </row>
    <row r="35" customFormat="false" ht="23.85" hidden="false" customHeight="false" outlineLevel="0" collapsed="false">
      <c r="A35" s="8" t="n">
        <v>23</v>
      </c>
      <c r="B35" s="8" t="str">
        <f aca="false">"W"&amp;ROUNDUP(A35/7,0)</f>
        <v>W4</v>
      </c>
      <c r="C35" s="9" t="n">
        <f aca="false">$C$2+A35-1</f>
        <v>46324</v>
      </c>
      <c r="D35" s="16" t="s">
        <v>76</v>
      </c>
      <c r="E35" s="8" t="s">
        <v>147</v>
      </c>
      <c r="F35" s="8" t="s">
        <v>148</v>
      </c>
      <c r="G35" s="8" t="s">
        <v>149</v>
      </c>
      <c r="H35" s="8" t="s">
        <v>37</v>
      </c>
      <c r="I35" s="11" t="n">
        <v>8</v>
      </c>
      <c r="J35" s="8" t="s">
        <v>31</v>
      </c>
      <c r="K35" s="12" t="s">
        <v>32</v>
      </c>
      <c r="L35" s="12"/>
      <c r="M35" s="12"/>
    </row>
    <row r="36" customFormat="false" ht="23.85" hidden="false" customHeight="false" outlineLevel="0" collapsed="false">
      <c r="A36" s="8" t="n">
        <v>24</v>
      </c>
      <c r="B36" s="8" t="str">
        <f aca="false">"W"&amp;ROUNDUP(A36/7,0)</f>
        <v>W4</v>
      </c>
      <c r="C36" s="9" t="n">
        <f aca="false">$C$2+A36-1</f>
        <v>46325</v>
      </c>
      <c r="D36" s="15" t="s">
        <v>60</v>
      </c>
      <c r="E36" s="8" t="s">
        <v>150</v>
      </c>
      <c r="F36" s="8" t="s">
        <v>151</v>
      </c>
      <c r="G36" s="8" t="s">
        <v>152</v>
      </c>
      <c r="H36" s="8" t="s">
        <v>37</v>
      </c>
      <c r="I36" s="11" t="n">
        <v>10</v>
      </c>
      <c r="J36" s="8" t="s">
        <v>31</v>
      </c>
      <c r="K36" s="12" t="s">
        <v>32</v>
      </c>
      <c r="L36" s="12"/>
      <c r="M36" s="12"/>
    </row>
    <row r="37" customFormat="false" ht="23.85" hidden="false" customHeight="false" outlineLevel="0" collapsed="false">
      <c r="A37" s="8" t="n">
        <v>25</v>
      </c>
      <c r="B37" s="8" t="str">
        <f aca="false">"W"&amp;ROUNDUP(A37/7,0)</f>
        <v>W4</v>
      </c>
      <c r="C37" s="9" t="n">
        <f aca="false">$C$2+A37-1</f>
        <v>46326</v>
      </c>
      <c r="D37" s="15" t="s">
        <v>60</v>
      </c>
      <c r="E37" s="8" t="s">
        <v>153</v>
      </c>
      <c r="F37" s="8" t="s">
        <v>154</v>
      </c>
      <c r="G37" s="8" t="s">
        <v>155</v>
      </c>
      <c r="H37" s="8" t="s">
        <v>37</v>
      </c>
      <c r="I37" s="11" t="n">
        <v>8</v>
      </c>
      <c r="J37" s="8" t="s">
        <v>31</v>
      </c>
      <c r="K37" s="12" t="s">
        <v>32</v>
      </c>
      <c r="L37" s="12"/>
      <c r="M37" s="12"/>
    </row>
    <row r="38" customFormat="false" ht="15" hidden="false" customHeight="false" outlineLevel="0" collapsed="false">
      <c r="A38" s="8" t="n">
        <v>26</v>
      </c>
      <c r="B38" s="8" t="str">
        <f aca="false">"W"&amp;ROUNDUP(A38/7,0)</f>
        <v>W4</v>
      </c>
      <c r="C38" s="9" t="n">
        <f aca="false">$C$2+A38-1</f>
        <v>46327</v>
      </c>
      <c r="D38" s="15" t="s">
        <v>60</v>
      </c>
      <c r="E38" s="8" t="s">
        <v>156</v>
      </c>
      <c r="F38" s="8" t="s">
        <v>157</v>
      </c>
      <c r="G38" s="8" t="s">
        <v>158</v>
      </c>
      <c r="H38" s="8" t="s">
        <v>37</v>
      </c>
      <c r="I38" s="11" t="n">
        <v>10</v>
      </c>
      <c r="J38" s="8" t="s">
        <v>31</v>
      </c>
      <c r="K38" s="12" t="s">
        <v>32</v>
      </c>
      <c r="L38" s="12"/>
      <c r="M38" s="12"/>
    </row>
    <row r="39" customFormat="false" ht="23.85" hidden="false" customHeight="false" outlineLevel="0" collapsed="false">
      <c r="A39" s="8" t="n">
        <v>27</v>
      </c>
      <c r="B39" s="8" t="str">
        <f aca="false">"W"&amp;ROUNDUP(A39/7,0)</f>
        <v>W4</v>
      </c>
      <c r="C39" s="9" t="n">
        <f aca="false">$C$2+A39-1</f>
        <v>46328</v>
      </c>
      <c r="D39" s="15" t="s">
        <v>60</v>
      </c>
      <c r="E39" s="8" t="s">
        <v>159</v>
      </c>
      <c r="F39" s="8" t="s">
        <v>160</v>
      </c>
      <c r="G39" s="8" t="s">
        <v>161</v>
      </c>
      <c r="H39" s="8" t="s">
        <v>37</v>
      </c>
      <c r="I39" s="11" t="n">
        <v>6</v>
      </c>
      <c r="J39" s="8" t="s">
        <v>31</v>
      </c>
      <c r="K39" s="12" t="s">
        <v>32</v>
      </c>
      <c r="L39" s="12"/>
      <c r="M39" s="12"/>
    </row>
    <row r="40" customFormat="false" ht="23.85" hidden="false" customHeight="false" outlineLevel="0" collapsed="false">
      <c r="A40" s="8" t="n">
        <v>28</v>
      </c>
      <c r="B40" s="8" t="str">
        <f aca="false">"W"&amp;ROUNDUP(A40/7,0)</f>
        <v>W4</v>
      </c>
      <c r="C40" s="9" t="n">
        <f aca="false">$C$2+A40-1</f>
        <v>46329</v>
      </c>
      <c r="D40" s="15" t="s">
        <v>60</v>
      </c>
      <c r="E40" s="8" t="s">
        <v>162</v>
      </c>
      <c r="F40" s="8" t="s">
        <v>163</v>
      </c>
      <c r="G40" s="8" t="s">
        <v>164</v>
      </c>
      <c r="H40" s="8" t="s">
        <v>37</v>
      </c>
      <c r="I40" s="11" t="n">
        <v>6</v>
      </c>
      <c r="J40" s="8" t="s">
        <v>31</v>
      </c>
      <c r="K40" s="12" t="s">
        <v>32</v>
      </c>
      <c r="L40" s="12"/>
      <c r="M40" s="12"/>
    </row>
    <row r="41" customFormat="false" ht="15" hidden="false" customHeight="false" outlineLevel="0" collapsed="false">
      <c r="H41" s="5" t="s">
        <v>165</v>
      </c>
      <c r="I41" s="5" t="n">
        <f aca="false">SUM(I5:I40)</f>
        <v>234</v>
      </c>
      <c r="L41" s="5" t="n">
        <f aca="false">SUM(L5:L40)</f>
        <v>0</v>
      </c>
    </row>
  </sheetData>
  <autoFilter ref="A4:M40"/>
  <conditionalFormatting sqref="K5:K40">
    <cfRule type="cellIs" priority="2" operator="equal" aboveAverage="0" equalAverage="0" bottom="0" percent="0" rank="0" text="" dxfId="12">
      <formula>"Done"</formula>
    </cfRule>
    <cfRule type="cellIs" priority="3" operator="equal" aboveAverage="0" equalAverage="0" bottom="0" percent="0" rank="0" text="" dxfId="13">
      <formula>"Blocked"</formula>
    </cfRule>
  </conditionalFormatting>
  <dataValidations count="1">
    <dataValidation allowBlank="false" errorStyle="stop" operator="between" showDropDown="false" showErrorMessage="false" showInputMessage="false" sqref="K5:K40" type="list">
      <formula1>"Todo,Doing,Done,Blocked"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4" t="s">
        <v>166</v>
      </c>
    </row>
    <row r="3" customFormat="false" ht="15" hidden="false" customHeight="false" outlineLevel="0" collapsed="false">
      <c r="A3" s="19" t="s">
        <v>167</v>
      </c>
      <c r="B3" s="19" t="s">
        <v>168</v>
      </c>
    </row>
    <row r="4" customFormat="false" ht="15" hidden="false" customHeight="false" outlineLevel="0" collapsed="false">
      <c r="A4" s="5" t="s">
        <v>169</v>
      </c>
      <c r="B4" s="20" t="s">
        <v>170</v>
      </c>
    </row>
    <row r="5" customFormat="false" ht="15" hidden="false" customHeight="false" outlineLevel="0" collapsed="false">
      <c r="A5" s="5" t="s">
        <v>171</v>
      </c>
      <c r="B5" s="20" t="s">
        <v>172</v>
      </c>
    </row>
    <row r="6" customFormat="false" ht="15" hidden="false" customHeight="false" outlineLevel="0" collapsed="false">
      <c r="A6" s="5" t="s">
        <v>173</v>
      </c>
      <c r="B6" s="20" t="s">
        <v>174</v>
      </c>
    </row>
    <row r="7" customFormat="false" ht="15" hidden="false" customHeight="false" outlineLevel="0" collapsed="false">
      <c r="A7" s="5" t="s">
        <v>175</v>
      </c>
      <c r="B7" s="20" t="s">
        <v>176</v>
      </c>
    </row>
    <row r="8" customFormat="false" ht="15" hidden="false" customHeight="false" outlineLevel="0" collapsed="false">
      <c r="A8" s="5" t="s">
        <v>177</v>
      </c>
      <c r="B8" s="20" t="s">
        <v>178</v>
      </c>
    </row>
    <row r="9" customFormat="false" ht="15" hidden="false" customHeight="false" outlineLevel="0" collapsed="false">
      <c r="A9" s="5" t="s">
        <v>179</v>
      </c>
      <c r="B9" s="20" t="s">
        <v>180</v>
      </c>
    </row>
    <row r="10" customFormat="false" ht="15" hidden="false" customHeight="false" outlineLevel="0" collapsed="false">
      <c r="A10" s="5" t="s">
        <v>181</v>
      </c>
      <c r="B10" s="20" t="s">
        <v>182</v>
      </c>
    </row>
    <row r="11" customFormat="false" ht="15" hidden="false" customHeight="false" outlineLevel="0" collapsed="false">
      <c r="A11" s="5" t="s">
        <v>183</v>
      </c>
      <c r="B11" s="20" t="s">
        <v>184</v>
      </c>
    </row>
    <row r="12" customFormat="false" ht="15" hidden="false" customHeight="false" outlineLevel="0" collapsed="false">
      <c r="A12" s="5" t="s">
        <v>185</v>
      </c>
      <c r="B12" s="20" t="s">
        <v>186</v>
      </c>
    </row>
    <row r="14" customFormat="false" ht="15" hidden="false" customHeight="false" outlineLevel="0" collapsed="false">
      <c r="A14" s="5" t="s">
        <v>187</v>
      </c>
    </row>
    <row r="15" customFormat="false" ht="15" hidden="false" customHeight="false" outlineLevel="0" collapsed="false">
      <c r="A15" s="19" t="s">
        <v>188</v>
      </c>
      <c r="B15" s="19" t="s">
        <v>189</v>
      </c>
      <c r="C15" s="19" t="s">
        <v>190</v>
      </c>
      <c r="D15" s="19" t="s">
        <v>191</v>
      </c>
      <c r="E15" s="19" t="s">
        <v>192</v>
      </c>
    </row>
    <row r="16" customFormat="false" ht="15" hidden="false" customHeight="false" outlineLevel="0" collapsed="false">
      <c r="A16" s="20" t="s">
        <v>193</v>
      </c>
      <c r="B16" s="20" t="s">
        <v>194</v>
      </c>
      <c r="C16" s="21" t="n">
        <v>250</v>
      </c>
      <c r="D16" s="22"/>
      <c r="E16" s="20" t="str">
        <f aca="false">IF(D16="","",D16-C16)</f>
        <v/>
      </c>
    </row>
    <row r="17" customFormat="false" ht="15" hidden="false" customHeight="false" outlineLevel="0" collapsed="false">
      <c r="A17" s="20" t="s">
        <v>195</v>
      </c>
      <c r="B17" s="20" t="s">
        <v>194</v>
      </c>
      <c r="C17" s="21" t="n">
        <v>350</v>
      </c>
      <c r="D17" s="22"/>
      <c r="E17" s="20" t="str">
        <f aca="false">IF(D17="","",D17-C17)</f>
        <v/>
      </c>
    </row>
    <row r="18" customFormat="false" ht="15" hidden="false" customHeight="false" outlineLevel="0" collapsed="false">
      <c r="A18" s="20" t="s">
        <v>196</v>
      </c>
      <c r="B18" s="20" t="s">
        <v>194</v>
      </c>
      <c r="C18" s="21" t="n">
        <v>350</v>
      </c>
      <c r="D18" s="22"/>
      <c r="E18" s="20" t="str">
        <f aca="false">IF(D18="","",D18-C18)</f>
        <v/>
      </c>
    </row>
    <row r="19" customFormat="false" ht="15" hidden="false" customHeight="false" outlineLevel="0" collapsed="false">
      <c r="A19" s="20" t="s">
        <v>197</v>
      </c>
      <c r="B19" s="20" t="s">
        <v>198</v>
      </c>
      <c r="C19" s="21" t="n">
        <v>30</v>
      </c>
      <c r="D19" s="22"/>
      <c r="E19" s="20" t="str">
        <f aca="false">IF(D19="","",D19-C19)</f>
        <v/>
      </c>
    </row>
    <row r="20" customFormat="false" ht="15" hidden="false" customHeight="false" outlineLevel="0" collapsed="false">
      <c r="A20" s="20" t="s">
        <v>199</v>
      </c>
      <c r="B20" s="20" t="s">
        <v>194</v>
      </c>
      <c r="C20" s="21" t="n">
        <v>450</v>
      </c>
      <c r="D20" s="22"/>
      <c r="E20" s="20" t="str">
        <f aca="false">IF(D20="","",D20-C20)</f>
        <v/>
      </c>
    </row>
    <row r="21" customFormat="false" ht="15" hidden="false" customHeight="false" outlineLevel="0" collapsed="false">
      <c r="A21" s="5" t="s">
        <v>200</v>
      </c>
      <c r="C21" s="5" t="n">
        <f aca="false">SUM(C16:C20)</f>
        <v>1430</v>
      </c>
      <c r="D21" s="5" t="str">
        <f aca="false">IF(COUNT(D16:D20)=0,"",SUM(D16:D20))</f>
        <v/>
      </c>
    </row>
    <row r="22" customFormat="false" ht="15" hidden="false" customHeight="false" outlineLevel="0" collapsed="false">
      <c r="A22" s="20" t="s">
        <v>201</v>
      </c>
      <c r="C22" s="21" t="n">
        <v>1500</v>
      </c>
    </row>
    <row r="23" customFormat="false" ht="15" hidden="false" customHeight="false" outlineLevel="0" collapsed="false">
      <c r="A23" s="20" t="s">
        <v>202</v>
      </c>
      <c r="C23" s="20" t="n">
        <f aca="false">C22-C21</f>
        <v>70</v>
      </c>
    </row>
    <row r="25" customFormat="false" ht="15" hidden="false" customHeight="false" outlineLevel="0" collapsed="false">
      <c r="A25" s="5" t="s">
        <v>203</v>
      </c>
    </row>
    <row r="26" customFormat="false" ht="15" hidden="false" customHeight="false" outlineLevel="0" collapsed="false">
      <c r="A26" s="19" t="s">
        <v>204</v>
      </c>
      <c r="B26" s="19"/>
      <c r="C26" s="19" t="s">
        <v>205</v>
      </c>
      <c r="D26" s="19" t="s">
        <v>206</v>
      </c>
      <c r="E26" s="19" t="s">
        <v>207</v>
      </c>
    </row>
    <row r="27" customFormat="false" ht="15" hidden="false" customHeight="false" outlineLevel="0" collapsed="false">
      <c r="A27" s="20" t="s">
        <v>208</v>
      </c>
      <c r="C27" s="21" t="n">
        <v>180</v>
      </c>
      <c r="D27" s="22"/>
      <c r="E27" s="20" t="str">
        <f aca="false">IF(D27="","",D27-C27)</f>
        <v/>
      </c>
    </row>
    <row r="28" customFormat="false" ht="15" hidden="false" customHeight="false" outlineLevel="0" collapsed="false">
      <c r="A28" s="20" t="s">
        <v>209</v>
      </c>
      <c r="C28" s="21" t="n">
        <v>120</v>
      </c>
      <c r="D28" s="22"/>
      <c r="E28" s="20" t="str">
        <f aca="false">IF(D28="","",D28-C28)</f>
        <v/>
      </c>
    </row>
    <row r="29" customFormat="false" ht="15" hidden="false" customHeight="false" outlineLevel="0" collapsed="false">
      <c r="A29" s="20" t="s">
        <v>210</v>
      </c>
      <c r="C29" s="21" t="n">
        <v>110</v>
      </c>
      <c r="D29" s="22"/>
      <c r="E29" s="20" t="str">
        <f aca="false">IF(D29="","",D29-C29)</f>
        <v/>
      </c>
    </row>
    <row r="30" customFormat="false" ht="15" hidden="false" customHeight="false" outlineLevel="0" collapsed="false">
      <c r="A30" s="20" t="s">
        <v>211</v>
      </c>
      <c r="C30" s="21" t="n">
        <v>110</v>
      </c>
      <c r="D30" s="22"/>
      <c r="E30" s="20" t="str">
        <f aca="false">IF(D30="","",D30-C30)</f>
        <v/>
      </c>
    </row>
    <row r="31" customFormat="false" ht="15" hidden="false" customHeight="false" outlineLevel="0" collapsed="false">
      <c r="A31" s="20" t="s">
        <v>212</v>
      </c>
      <c r="C31" s="21" t="n">
        <v>150</v>
      </c>
      <c r="D31" s="22"/>
      <c r="E31" s="20" t="str">
        <f aca="false">IF(D31="","",D31-C31)</f>
        <v/>
      </c>
    </row>
    <row r="32" customFormat="false" ht="15" hidden="false" customHeight="false" outlineLevel="0" collapsed="false">
      <c r="A32" s="20" t="s">
        <v>213</v>
      </c>
      <c r="C32" s="21" t="n">
        <v>40</v>
      </c>
      <c r="D32" s="22"/>
      <c r="E32" s="20" t="str">
        <f aca="false">IF(D32="","",D32-C32)</f>
        <v/>
      </c>
    </row>
    <row r="33" customFormat="false" ht="15" hidden="false" customHeight="false" outlineLevel="0" collapsed="false">
      <c r="A33" s="5" t="s">
        <v>214</v>
      </c>
      <c r="C33" s="5" t="n">
        <f aca="false">SUM(C27:C32)</f>
        <v>710</v>
      </c>
      <c r="D33" s="5" t="str">
        <f aca="false">IF(COUNT(D27:D32)=0,"",SUM(D27:D32))</f>
        <v/>
      </c>
    </row>
    <row r="34" customFormat="false" ht="15" hidden="false" customHeight="false" outlineLevel="0" collapsed="false">
      <c r="A34" s="20" t="s">
        <v>215</v>
      </c>
      <c r="C34" s="21" t="n">
        <v>1000</v>
      </c>
    </row>
    <row r="35" customFormat="false" ht="15" hidden="false" customHeight="false" outlineLevel="0" collapsed="false">
      <c r="A35" s="20" t="s">
        <v>216</v>
      </c>
      <c r="C35" s="20" t="n">
        <f aca="false">C34-C33</f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9"/>
  </cols>
  <sheetData>
    <row r="1" customFormat="false" ht="16.15" hidden="false" customHeight="false" outlineLevel="0" collapsed="false">
      <c r="A1" s="4" t="s">
        <v>217</v>
      </c>
    </row>
    <row r="3" customFormat="false" ht="15" hidden="false" customHeight="false" outlineLevel="0" collapsed="false">
      <c r="A3" s="19" t="s">
        <v>14</v>
      </c>
      <c r="B3" s="19" t="s">
        <v>218</v>
      </c>
      <c r="C3" s="19" t="s">
        <v>219</v>
      </c>
      <c r="D3" s="19" t="s">
        <v>220</v>
      </c>
      <c r="E3" s="19" t="s">
        <v>221</v>
      </c>
      <c r="F3" s="19" t="s">
        <v>21</v>
      </c>
      <c r="G3" s="19" t="s">
        <v>24</v>
      </c>
      <c r="H3" s="19" t="s">
        <v>222</v>
      </c>
    </row>
    <row r="4" customFormat="false" ht="15" hidden="false" customHeight="false" outlineLevel="0" collapsed="false">
      <c r="A4" s="5" t="s">
        <v>223</v>
      </c>
      <c r="B4" s="20" t="s">
        <v>224</v>
      </c>
      <c r="C4" s="23" t="n">
        <f aca="false">COUNTIF(Timeline!$B$5:$B$40,A4)</f>
        <v>13</v>
      </c>
      <c r="D4" s="23" t="n">
        <f aca="false">COUNTIFS(Timeline!$B$5:$B$40,A4,Timeline!$K$5:$K$40,"Done")</f>
        <v>0</v>
      </c>
      <c r="E4" s="24" t="n">
        <f aca="false">IF(C4=0,0,D4/C4)</f>
        <v>0</v>
      </c>
      <c r="F4" s="23" t="n">
        <f aca="false">SUMIF(Timeline!$B$5:$B$40,A4,Timeline!$I$5:$I$40)</f>
        <v>59</v>
      </c>
      <c r="G4" s="23" t="n">
        <f aca="false">SUMIF(Timeline!$B$5:$B$40,A4,Timeline!$L$5:$L$40)</f>
        <v>0</v>
      </c>
      <c r="H4" s="23" t="n">
        <f aca="false">COUNTIFS(Timeline!$B$5:$B$40,A4,Timeline!$K$5:$K$40,"Blocked")</f>
        <v>0</v>
      </c>
    </row>
    <row r="5" customFormat="false" ht="15" hidden="false" customHeight="false" outlineLevel="0" collapsed="false">
      <c r="A5" s="5" t="s">
        <v>225</v>
      </c>
      <c r="B5" s="20" t="s">
        <v>226</v>
      </c>
      <c r="C5" s="23" t="n">
        <f aca="false">COUNTIF(Timeline!$B$5:$B$40,A5)</f>
        <v>9</v>
      </c>
      <c r="D5" s="23" t="n">
        <f aca="false">COUNTIFS(Timeline!$B$5:$B$40,A5,Timeline!$K$5:$K$40,"Done")</f>
        <v>0</v>
      </c>
      <c r="E5" s="24" t="n">
        <f aca="false">IF(C5=0,0,D5/C5)</f>
        <v>0</v>
      </c>
      <c r="F5" s="23" t="n">
        <f aca="false">SUMIF(Timeline!$B$5:$B$40,A5,Timeline!$I$5:$I$40)</f>
        <v>63</v>
      </c>
      <c r="G5" s="23" t="n">
        <f aca="false">SUMIF(Timeline!$B$5:$B$40,A5,Timeline!$L$5:$L$40)</f>
        <v>0</v>
      </c>
      <c r="H5" s="23" t="n">
        <f aca="false">COUNTIFS(Timeline!$B$5:$B$40,A5,Timeline!$K$5:$K$40,"Blocked")</f>
        <v>0</v>
      </c>
    </row>
    <row r="6" customFormat="false" ht="15" hidden="false" customHeight="false" outlineLevel="0" collapsed="false">
      <c r="A6" s="5" t="s">
        <v>227</v>
      </c>
      <c r="B6" s="20" t="s">
        <v>228</v>
      </c>
      <c r="C6" s="23" t="n">
        <f aca="false">COUNTIF(Timeline!$B$5:$B$40,A6)</f>
        <v>7</v>
      </c>
      <c r="D6" s="23" t="n">
        <f aca="false">COUNTIFS(Timeline!$B$5:$B$40,A6,Timeline!$K$5:$K$40,"Done")</f>
        <v>0</v>
      </c>
      <c r="E6" s="24" t="n">
        <f aca="false">IF(C6=0,0,D6/C6)</f>
        <v>0</v>
      </c>
      <c r="F6" s="23" t="n">
        <f aca="false">SUMIF(Timeline!$B$5:$B$40,A6,Timeline!$I$5:$I$40)</f>
        <v>54</v>
      </c>
      <c r="G6" s="23" t="n">
        <f aca="false">SUMIF(Timeline!$B$5:$B$40,A6,Timeline!$L$5:$L$40)</f>
        <v>0</v>
      </c>
      <c r="H6" s="23" t="n">
        <f aca="false">COUNTIFS(Timeline!$B$5:$B$40,A6,Timeline!$K$5:$K$40,"Blocked")</f>
        <v>0</v>
      </c>
    </row>
    <row r="7" customFormat="false" ht="15" hidden="false" customHeight="false" outlineLevel="0" collapsed="false">
      <c r="A7" s="5" t="s">
        <v>229</v>
      </c>
      <c r="B7" s="20" t="s">
        <v>230</v>
      </c>
      <c r="C7" s="23" t="n">
        <f aca="false">COUNTIF(Timeline!$B$5:$B$40,A7)</f>
        <v>7</v>
      </c>
      <c r="D7" s="23" t="n">
        <f aca="false">COUNTIFS(Timeline!$B$5:$B$40,A7,Timeline!$K$5:$K$40,"Done")</f>
        <v>0</v>
      </c>
      <c r="E7" s="24" t="n">
        <f aca="false">IF(C7=0,0,D7/C7)</f>
        <v>0</v>
      </c>
      <c r="F7" s="23" t="n">
        <f aca="false">SUMIF(Timeline!$B$5:$B$40,A7,Timeline!$I$5:$I$40)</f>
        <v>58</v>
      </c>
      <c r="G7" s="23" t="n">
        <f aca="false">SUMIF(Timeline!$B$5:$B$40,A7,Timeline!$L$5:$L$40)</f>
        <v>0</v>
      </c>
      <c r="H7" s="23" t="n">
        <f aca="false">COUNTIFS(Timeline!$B$5:$B$40,A7,Timeline!$K$5:$K$40,"Blocked")</f>
        <v>0</v>
      </c>
    </row>
    <row r="8" customFormat="false" ht="15" hidden="false" customHeight="false" outlineLevel="0" collapsed="false">
      <c r="A8" s="5" t="s">
        <v>214</v>
      </c>
      <c r="C8" s="5" t="n">
        <f aca="false">SUM(C4:C7)</f>
        <v>36</v>
      </c>
      <c r="D8" s="5" t="n">
        <f aca="false">SUM(D4:D7)</f>
        <v>0</v>
      </c>
      <c r="E8" s="25" t="n">
        <f aca="false">IF(C8=0,0,D8/C8)</f>
        <v>0</v>
      </c>
      <c r="F8" s="5" t="n">
        <f aca="false">SUM(F4:F7)</f>
        <v>234</v>
      </c>
      <c r="G8" s="5" t="n">
        <f aca="false">SUM(G4:G7)</f>
        <v>0</v>
      </c>
      <c r="H8" s="5" t="n">
        <f aca="false">SUM(H4:H7)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48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9" t="s">
        <v>231</v>
      </c>
      <c r="B1" s="19" t="s">
        <v>232</v>
      </c>
      <c r="C1" s="19" t="s">
        <v>233</v>
      </c>
      <c r="D1" s="19" t="s">
        <v>234</v>
      </c>
    </row>
    <row r="2" customFormat="false" ht="23.85" hidden="false" customHeight="false" outlineLevel="0" collapsed="false">
      <c r="A2" s="8" t="s">
        <v>235</v>
      </c>
      <c r="B2" s="8" t="s">
        <v>236</v>
      </c>
      <c r="C2" s="8" t="s">
        <v>237</v>
      </c>
      <c r="D2" s="8" t="s">
        <v>238</v>
      </c>
    </row>
    <row r="3" customFormat="false" ht="23.85" hidden="false" customHeight="false" outlineLevel="0" collapsed="false">
      <c r="A3" s="8" t="s">
        <v>239</v>
      </c>
      <c r="B3" s="8" t="s">
        <v>240</v>
      </c>
      <c r="C3" s="8" t="s">
        <v>241</v>
      </c>
      <c r="D3" s="8" t="s">
        <v>242</v>
      </c>
    </row>
    <row r="4" customFormat="false" ht="23.85" hidden="false" customHeight="false" outlineLevel="0" collapsed="false">
      <c r="A4" s="8" t="s">
        <v>243</v>
      </c>
      <c r="B4" s="8" t="s">
        <v>244</v>
      </c>
      <c r="C4" s="8" t="s">
        <v>245</v>
      </c>
      <c r="D4" s="8" t="s">
        <v>246</v>
      </c>
    </row>
    <row r="5" customFormat="false" ht="15" hidden="false" customHeight="false" outlineLevel="0" collapsed="false">
      <c r="A5" s="8" t="s">
        <v>247</v>
      </c>
      <c r="B5" s="8" t="s">
        <v>248</v>
      </c>
      <c r="C5" s="8" t="s">
        <v>249</v>
      </c>
      <c r="D5" s="8" t="s">
        <v>250</v>
      </c>
    </row>
    <row r="6" customFormat="false" ht="15" hidden="false" customHeight="false" outlineLevel="0" collapsed="false">
      <c r="A6" s="8" t="s">
        <v>251</v>
      </c>
      <c r="B6" s="8" t="s">
        <v>252</v>
      </c>
      <c r="C6" s="8" t="s">
        <v>253</v>
      </c>
      <c r="D6" s="8" t="s">
        <v>254</v>
      </c>
    </row>
    <row r="7" customFormat="false" ht="15" hidden="false" customHeight="false" outlineLevel="0" collapsed="false">
      <c r="A7" s="8" t="s">
        <v>255</v>
      </c>
      <c r="B7" s="8" t="s">
        <v>256</v>
      </c>
      <c r="C7" s="8" t="s">
        <v>257</v>
      </c>
      <c r="D7" s="8" t="s">
        <v>254</v>
      </c>
    </row>
    <row r="8" customFormat="false" ht="23.85" hidden="false" customHeight="false" outlineLevel="0" collapsed="false">
      <c r="A8" s="8" t="s">
        <v>258</v>
      </c>
      <c r="B8" s="8" t="s">
        <v>259</v>
      </c>
      <c r="C8" s="8" t="s">
        <v>260</v>
      </c>
      <c r="D8" s="8" t="s">
        <v>261</v>
      </c>
    </row>
    <row r="9" customFormat="false" ht="15" hidden="false" customHeight="false" outlineLevel="0" collapsed="false">
      <c r="A9" s="8" t="s">
        <v>262</v>
      </c>
      <c r="B9" s="8" t="s">
        <v>263</v>
      </c>
      <c r="C9" s="8" t="s">
        <v>264</v>
      </c>
      <c r="D9" s="8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2026-10-05T19:59:41Z</dcterms:created>
  <dc:creator>openpyxl</dc:creator>
  <dc:description/>
  <dc:language>en-US</dc:language>
  <cp:lastModifiedBy/>
  <dcterms:modified xsi:type="dcterms:W3CDTF">2026-10-05T19:59:41Z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